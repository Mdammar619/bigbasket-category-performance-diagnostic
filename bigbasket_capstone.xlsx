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5c48bc06814e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Data" sheetId="1" r:id="Rd65c862f82ee4a9e"/>
    <x:sheet xmlns:r="http://schemas.openxmlformats.org/officeDocument/2006/relationships" name="Category Targets" sheetId="2" r:id="R7f194fd772154b7e"/>
    <x:sheet xmlns:r="http://schemas.openxmlformats.org/officeDocument/2006/relationships" name="Pivot Table" sheetId="3" r:id="Ra4a989b2e06144b9"/>
    <x:sheet xmlns:r="http://schemas.openxmlformats.org/officeDocument/2006/relationships" name="Category Summary" sheetId="4" r:id="Ra8703d391f424c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0"/>
    <x:numFmt numFmtId="202" formatCode="₹#,##0.00"/>
    <x:numFmt numFmtId="203" formatCode="₹#,##0"/>
    <x:numFmt numFmtId="204" formatCode="0.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C6EFCE"/>
        </x:patternFill>
      </x:fill>
    </x:dxf>
    <x:dxf>
      <x:fill>
        <x:patternFill patternType="solid">
          <x:bgColor rgb="FFFFEB9C"/>
        </x:patternFill>
      </x:fill>
    </x:dxf>
    <x:dxf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228db152af4580" /><Relationship Type="http://schemas.openxmlformats.org/officeDocument/2006/relationships/theme" Target="/xl/theme/theme1.xml" Id="Ra3196cd338314be7" /><Relationship Type="http://schemas.openxmlformats.org/officeDocument/2006/relationships/sharedStrings" Target="/xl/sharedStrings.xml" Id="R9461a5244b1b427e" /><Relationship Type="http://schemas.openxmlformats.org/officeDocument/2006/relationships/worksheet" Target="/xl/worksheets/sheet1.xml" Id="Rd65c862f82ee4a9e" /><Relationship Type="http://schemas.openxmlformats.org/officeDocument/2006/relationships/worksheet" Target="/xl/worksheets/sheet2.xml" Id="R7f194fd772154b7e" /><Relationship Type="http://schemas.openxmlformats.org/officeDocument/2006/relationships/worksheet" Target="/xl/worksheets/sheet3.xml" Id="Ra4a989b2e06144b9" /><Relationship Type="http://schemas.openxmlformats.org/officeDocument/2006/relationships/worksheet" Target="/xl/worksheets/sheet4.xml" Id="Ra8703d391f424c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0" hidden="0" customWidth="1"/>
    <x:col min="4" max="4" width="11.25" hidden="0" customWidth="1"/>
    <x:col min="5" max="5" width="16.8799991607666" hidden="0" customWidth="1"/>
  </x:cols>
  <x:sheetData>
    <x:row r="1">
      <x:c r="A1" s="4" t="str">
        <x:v>category</x:v>
      </x:c>
      <x:c r="B1" s="4" t="str">
        <x:v>month</x:v>
      </x:c>
      <x:c r="C1" s="4" t="str">
        <x:v>order_count</x:v>
      </x:c>
      <x:c r="D1" s="4" t="str">
        <x:v>total_revenue</x:v>
      </x:c>
      <x:c r="E1" s="4" t="str">
        <x:v>avg_revenue</x:v>
      </x:c>
    </x:row>
    <x:row r="2">
      <x:c r="A2" t="str">
        <x:v>Bakery</x:v>
      </x:c>
      <x:c r="B2" s="8" t="str">
        <x:v>2026-01</x:v>
      </x:c>
      <x:c r="C2" s="10" t="n">
        <x:v>6</x:v>
      </x:c>
      <x:c r="D2" s="12" t="n">
        <x:v>735</x:v>
      </x:c>
      <x:c r="E2" s="12" t="n">
        <x:v>122.5</x:v>
      </x:c>
    </x:row>
    <x:row r="3">
      <x:c r="A3" t="str">
        <x:v>Bakery</x:v>
      </x:c>
      <x:c r="B3" s="8" t="str">
        <x:v>2026-02</x:v>
      </x:c>
      <x:c r="C3" s="10" t="n">
        <x:v>8</x:v>
      </x:c>
      <x:c r="D3" s="12" t="n">
        <x:v>2440</x:v>
      </x:c>
      <x:c r="E3" s="12" t="n">
        <x:v>305</x:v>
      </x:c>
    </x:row>
    <x:row r="4">
      <x:c r="A4" t="str">
        <x:v>Bakery</x:v>
      </x:c>
      <x:c r="B4" s="8" t="str">
        <x:v>2026-03</x:v>
      </x:c>
      <x:c r="C4" s="10" t="n">
        <x:v>11</x:v>
      </x:c>
      <x:c r="D4" s="12" t="n">
        <x:v>3090</x:v>
      </x:c>
      <x:c r="E4" s="12" t="n">
        <x:v>280.90909090909093</x:v>
      </x:c>
    </x:row>
    <x:row r="5">
      <x:c r="A5" t="str">
        <x:v>Bakery</x:v>
      </x:c>
      <x:c r="B5" s="8" t="str">
        <x:v>2026-04</x:v>
      </x:c>
      <x:c r="C5" s="10" t="n">
        <x:v>13</x:v>
      </x:c>
      <x:c r="D5" s="12" t="n">
        <x:v>3115</x:v>
      </x:c>
      <x:c r="E5" s="12" t="n">
        <x:v>239.6153846153846</x:v>
      </x:c>
    </x:row>
    <x:row r="6">
      <x:c r="A6" t="str">
        <x:v>Bakery</x:v>
      </x:c>
      <x:c r="B6" s="8" t="str">
        <x:v>2026-05</x:v>
      </x:c>
      <x:c r="C6" s="10" t="n">
        <x:v>15</x:v>
      </x:c>
      <x:c r="D6" s="12" t="n">
        <x:v>3695</x:v>
      </x:c>
      <x:c r="E6" s="12" t="n">
        <x:v>246.33333333333334</x:v>
      </x:c>
    </x:row>
    <x:row r="7">
      <x:c r="A7" t="str">
        <x:v>Bakery</x:v>
      </x:c>
      <x:c r="B7" s="8" t="str">
        <x:v>2026-06</x:v>
      </x:c>
      <x:c r="C7" s="10" t="n">
        <x:v>14</x:v>
      </x:c>
      <x:c r="D7" s="12" t="n">
        <x:v>2335</x:v>
      </x:c>
      <x:c r="E7" s="12" t="n">
        <x:v>166.78571428571428</x:v>
      </x:c>
    </x:row>
    <x:row r="8">
      <x:c r="A8" t="str">
        <x:v>Dairy &amp; Eggs</x:v>
      </x:c>
      <x:c r="B8" s="8" t="str">
        <x:v>2026-01</x:v>
      </x:c>
      <x:c r="C8" s="10" t="n">
        <x:v>9</x:v>
      </x:c>
      <x:c r="D8" s="12" t="n">
        <x:v>2035</x:v>
      </x:c>
      <x:c r="E8" s="12" t="n">
        <x:v>226.11111111111111</x:v>
      </x:c>
    </x:row>
    <x:row r="9">
      <x:c r="A9" t="str">
        <x:v>Dairy &amp; Eggs</x:v>
      </x:c>
      <x:c r="B9" s="8" t="str">
        <x:v>2026-02</x:v>
      </x:c>
      <x:c r="C9" s="10" t="n">
        <x:v>8</x:v>
      </x:c>
      <x:c r="D9" s="12" t="n">
        <x:v>1935</x:v>
      </x:c>
      <x:c r="E9" s="12" t="n">
        <x:v>241.875</x:v>
      </x:c>
    </x:row>
    <x:row r="10">
      <x:c r="A10" t="str">
        <x:v>Dairy &amp; Eggs</x:v>
      </x:c>
      <x:c r="B10" s="8" t="str">
        <x:v>2026-03</x:v>
      </x:c>
      <x:c r="C10" s="10" t="n">
        <x:v>15</x:v>
      </x:c>
      <x:c r="D10" s="12" t="n">
        <x:v>3163</x:v>
      </x:c>
      <x:c r="E10" s="12" t="n">
        <x:v>210.86666666666667</x:v>
      </x:c>
    </x:row>
    <x:row r="11">
      <x:c r="A11" t="str">
        <x:v>Dairy &amp; Eggs</x:v>
      </x:c>
      <x:c r="B11" s="8" t="str">
        <x:v>2026-04</x:v>
      </x:c>
      <x:c r="C11" s="10" t="n">
        <x:v>9</x:v>
      </x:c>
      <x:c r="D11" s="12" t="n">
        <x:v>1650</x:v>
      </x:c>
      <x:c r="E11" s="12" t="n">
        <x:v>183.33333333333334</x:v>
      </x:c>
    </x:row>
    <x:row r="12">
      <x:c r="A12" t="str">
        <x:v>Dairy &amp; Eggs</x:v>
      </x:c>
      <x:c r="B12" s="8" t="str">
        <x:v>2026-05</x:v>
      </x:c>
      <x:c r="C12" s="10" t="n">
        <x:v>14</x:v>
      </x:c>
      <x:c r="D12" s="12" t="n">
        <x:v>3479</x:v>
      </x:c>
      <x:c r="E12" s="12" t="n">
        <x:v>248.5</x:v>
      </x:c>
    </x:row>
    <x:row r="13">
      <x:c r="A13" t="str">
        <x:v>Dairy &amp; Eggs</x:v>
      </x:c>
      <x:c r="B13" s="8" t="str">
        <x:v>2026-06</x:v>
      </x:c>
      <x:c r="C13" s="10" t="n">
        <x:v>11</x:v>
      </x:c>
      <x:c r="D13" s="12" t="n">
        <x:v>1828</x:v>
      </x:c>
      <x:c r="E13" s="12" t="n">
        <x:v>166.1818181818182</x:v>
      </x:c>
    </x:row>
    <x:row r="14">
      <x:c r="A14" t="str">
        <x:v>Fruits &amp; Vegetables</x:v>
      </x:c>
      <x:c r="B14" s="8" t="str">
        <x:v>2026-01</x:v>
      </x:c>
      <x:c r="C14" s="10" t="n">
        <x:v>12</x:v>
      </x:c>
      <x:c r="D14" s="12" t="n">
        <x:v>1290</x:v>
      </x:c>
      <x:c r="E14" s="12" t="n">
        <x:v>107.5</x:v>
      </x:c>
    </x:row>
    <x:row r="15">
      <x:c r="A15" t="str">
        <x:v>Fruits &amp; Vegetables</x:v>
      </x:c>
      <x:c r="B15" s="8" t="str">
        <x:v>2026-02</x:v>
      </x:c>
      <x:c r="C15" s="10" t="n">
        <x:v>13</x:v>
      </x:c>
      <x:c r="D15" s="12" t="n">
        <x:v>2090</x:v>
      </x:c>
      <x:c r="E15" s="12" t="n">
        <x:v>160.76923076923077</x:v>
      </x:c>
    </x:row>
    <x:row r="16">
      <x:c r="A16" t="str">
        <x:v>Fruits &amp; Vegetables</x:v>
      </x:c>
      <x:c r="B16" s="8" t="str">
        <x:v>2026-03</x:v>
      </x:c>
      <x:c r="C16" s="10" t="n">
        <x:v>13</x:v>
      </x:c>
      <x:c r="D16" s="12" t="n">
        <x:v>2080</x:v>
      </x:c>
      <x:c r="E16" s="12" t="n">
        <x:v>160</x:v>
      </x:c>
    </x:row>
    <x:row r="17">
      <x:c r="A17" t="str">
        <x:v>Fruits &amp; Vegetables</x:v>
      </x:c>
      <x:c r="B17" s="8" t="str">
        <x:v>2026-04</x:v>
      </x:c>
      <x:c r="C17" s="10" t="n">
        <x:v>14</x:v>
      </x:c>
      <x:c r="D17" s="12" t="n">
        <x:v>1400</x:v>
      </x:c>
      <x:c r="E17" s="12" t="n">
        <x:v>100</x:v>
      </x:c>
    </x:row>
    <x:row r="18">
      <x:c r="A18" t="str">
        <x:v>Fruits &amp; Vegetables</x:v>
      </x:c>
      <x:c r="B18" s="8" t="str">
        <x:v>2026-05</x:v>
      </x:c>
      <x:c r="C18" s="10" t="n">
        <x:v>12</x:v>
      </x:c>
      <x:c r="D18" s="12" t="n">
        <x:v>1870</x:v>
      </x:c>
      <x:c r="E18" s="12" t="n">
        <x:v>155.83333333333334</x:v>
      </x:c>
    </x:row>
    <x:row r="19">
      <x:c r="A19" t="str">
        <x:v>Fruits &amp; Vegetables</x:v>
      </x:c>
      <x:c r="B19" s="8" t="str">
        <x:v>2026-06</x:v>
      </x:c>
      <x:c r="C19" s="10" t="n">
        <x:v>9</x:v>
      </x:c>
      <x:c r="D19" s="12" t="n">
        <x:v>1060</x:v>
      </x:c>
      <x:c r="E19" s="12" t="n">
        <x:v>117.77777777777777</x:v>
      </x:c>
    </x:row>
    <x:row r="20">
      <x:c r="A20" t="str">
        <x:v>Household Essentials</x:v>
      </x:c>
      <x:c r="B20" s="8" t="str">
        <x:v>2026-01</x:v>
      </x:c>
      <x:c r="C20" s="10" t="n">
        <x:v>10</x:v>
      </x:c>
      <x:c r="D20" s="12" t="n">
        <x:v>2099</x:v>
      </x:c>
      <x:c r="E20" s="12" t="n">
        <x:v>209.9</x:v>
      </x:c>
    </x:row>
    <x:row r="21">
      <x:c r="A21" t="str">
        <x:v>Household Essentials</x:v>
      </x:c>
      <x:c r="B21" s="8" t="str">
        <x:v>2026-02</x:v>
      </x:c>
      <x:c r="C21" s="10" t="n">
        <x:v>16</x:v>
      </x:c>
      <x:c r="D21" s="12" t="n">
        <x:v>5113</x:v>
      </x:c>
      <x:c r="E21" s="12" t="n">
        <x:v>319.5625</x:v>
      </x:c>
    </x:row>
    <x:row r="22">
      <x:c r="A22" t="str">
        <x:v>Household Essentials</x:v>
      </x:c>
      <x:c r="B22" s="8" t="str">
        <x:v>2026-03</x:v>
      </x:c>
      <x:c r="C22" s="10" t="n">
        <x:v>8</x:v>
      </x:c>
      <x:c r="D22" s="12" t="n">
        <x:v>1885</x:v>
      </x:c>
      <x:c r="E22" s="12" t="n">
        <x:v>235.625</x:v>
      </x:c>
    </x:row>
    <x:row r="23">
      <x:c r="A23" t="str">
        <x:v>Household Essentials</x:v>
      </x:c>
      <x:c r="B23" s="8" t="str">
        <x:v>2026-04</x:v>
      </x:c>
      <x:c r="C23" s="10" t="n">
        <x:v>17</x:v>
      </x:c>
      <x:c r="D23" s="12" t="n">
        <x:v>5491</x:v>
      </x:c>
      <x:c r="E23" s="12" t="n">
        <x:v>323</x:v>
      </x:c>
    </x:row>
    <x:row r="24">
      <x:c r="A24" t="str">
        <x:v>Household Essentials</x:v>
      </x:c>
      <x:c r="B24" s="8" t="str">
        <x:v>2026-05</x:v>
      </x:c>
      <x:c r="C24" s="10" t="n">
        <x:v>16</x:v>
      </x:c>
      <x:c r="D24" s="12" t="n">
        <x:v>3477</x:v>
      </x:c>
      <x:c r="E24" s="12" t="n">
        <x:v>217.3125</x:v>
      </x:c>
    </x:row>
    <x:row r="25">
      <x:c r="A25" t="str">
        <x:v>Household Essentials</x:v>
      </x:c>
      <x:c r="B25" s="8" t="str">
        <x:v>2026-06</x:v>
      </x:c>
      <x:c r="C25" s="10" t="n">
        <x:v>12</x:v>
      </x:c>
      <x:c r="D25" s="12" t="n">
        <x:v>3650</x:v>
      </x:c>
      <x:c r="E25" s="12" t="n">
        <x:v>304.1666666666667</x:v>
      </x:c>
    </x:row>
    <x:row r="26">
      <x:c r="A26" t="str">
        <x:v>Personal Care</x:v>
      </x:c>
      <x:c r="B26" s="8" t="str">
        <x:v>2026-01</x:v>
      </x:c>
      <x:c r="C26" s="10" t="n">
        <x:v>12</x:v>
      </x:c>
      <x:c r="D26" s="12" t="n">
        <x:v>3608</x:v>
      </x:c>
      <x:c r="E26" s="12" t="n">
        <x:v>300.6666666666667</x:v>
      </x:c>
    </x:row>
    <x:row r="27">
      <x:c r="A27" t="str">
        <x:v>Personal Care</x:v>
      </x:c>
      <x:c r="B27" s="8" t="str">
        <x:v>2026-02</x:v>
      </x:c>
      <x:c r="C27" s="10" t="n">
        <x:v>8</x:v>
      </x:c>
      <x:c r="D27" s="12" t="n">
        <x:v>2177</x:v>
      </x:c>
      <x:c r="E27" s="12" t="n">
        <x:v>272.125</x:v>
      </x:c>
    </x:row>
    <x:row r="28">
      <x:c r="A28" t="str">
        <x:v>Personal Care</x:v>
      </x:c>
      <x:c r="B28" s="8" t="str">
        <x:v>2026-03</x:v>
      </x:c>
      <x:c r="C28" s="10" t="n">
        <x:v>11</x:v>
      </x:c>
      <x:c r="D28" s="12" t="n">
        <x:v>2807</x:v>
      </x:c>
      <x:c r="E28" s="12" t="n">
        <x:v>255.1818181818182</x:v>
      </x:c>
    </x:row>
    <x:row r="29">
      <x:c r="A29" t="str">
        <x:v>Personal Care</x:v>
      </x:c>
      <x:c r="B29" s="8" t="str">
        <x:v>2026-04</x:v>
      </x:c>
      <x:c r="C29" s="10" t="n">
        <x:v>9</x:v>
      </x:c>
      <x:c r="D29" s="12" t="n">
        <x:v>1970</x:v>
      </x:c>
      <x:c r="E29" s="12" t="n">
        <x:v>218.88888888888889</x:v>
      </x:c>
    </x:row>
    <x:row r="30">
      <x:c r="A30" t="str">
        <x:v>Personal Care</x:v>
      </x:c>
      <x:c r="B30" s="8" t="str">
        <x:v>2026-05</x:v>
      </x:c>
      <x:c r="C30" s="10" t="n">
        <x:v>13</x:v>
      </x:c>
      <x:c r="D30" s="12" t="n">
        <x:v>3045</x:v>
      </x:c>
      <x:c r="E30" s="12" t="n">
        <x:v>234.23076923076923</x:v>
      </x:c>
    </x:row>
    <x:row r="31">
      <x:c r="A31" t="str">
        <x:v>Personal Care</x:v>
      </x:c>
      <x:c r="B31" s="8" t="str">
        <x:v>2026-06</x:v>
      </x:c>
      <x:c r="C31" s="10" t="n">
        <x:v>13</x:v>
      </x:c>
      <x:c r="D31" s="12" t="n">
        <x:v>2775</x:v>
      </x:c>
      <x:c r="E31" s="12" t="n">
        <x:v>213.46153846153845</x:v>
      </x:c>
    </x:row>
    <x:row r="32">
      <x:c r="A32" t="str">
        <x:v>Snacks &amp; Beverages</x:v>
      </x:c>
      <x:c r="B32" s="8" t="str">
        <x:v>2026-01</x:v>
      </x:c>
      <x:c r="C32" s="10" t="n">
        <x:v>10</x:v>
      </x:c>
      <x:c r="D32" s="12" t="n">
        <x:v>1290</x:v>
      </x:c>
      <x:c r="E32" s="12" t="n">
        <x:v>129</x:v>
      </x:c>
    </x:row>
    <x:row r="33">
      <x:c r="A33" t="str">
        <x:v>Snacks &amp; Beverages</x:v>
      </x:c>
      <x:c r="B33" s="8" t="str">
        <x:v>2026-02</x:v>
      </x:c>
      <x:c r="C33" s="10" t="n">
        <x:v>11</x:v>
      </x:c>
      <x:c r="D33" s="12" t="n">
        <x:v>1330</x:v>
      </x:c>
      <x:c r="E33" s="12" t="n">
        <x:v>120.9090909090909</x:v>
      </x:c>
    </x:row>
    <x:row r="34">
      <x:c r="A34" t="str">
        <x:v>Snacks &amp; Beverages</x:v>
      </x:c>
      <x:c r="B34" s="8" t="str">
        <x:v>2026-03</x:v>
      </x:c>
      <x:c r="C34" s="10" t="n">
        <x:v>15</x:v>
      </x:c>
      <x:c r="D34" s="12" t="n">
        <x:v>1670</x:v>
      </x:c>
      <x:c r="E34" s="12" t="n">
        <x:v>111.33333333333333</x:v>
      </x:c>
    </x:row>
    <x:row r="35">
      <x:c r="A35" t="str">
        <x:v>Snacks &amp; Beverages</x:v>
      </x:c>
      <x:c r="B35" s="8" t="str">
        <x:v>2026-04</x:v>
      </x:c>
      <x:c r="C35" s="10" t="n">
        <x:v>19</x:v>
      </x:c>
      <x:c r="D35" s="12" t="n">
        <x:v>2980</x:v>
      </x:c>
      <x:c r="E35" s="12" t="n">
        <x:v>156.8421052631579</x:v>
      </x:c>
    </x:row>
    <x:row r="36">
      <x:c r="A36" t="str">
        <x:v>Snacks &amp; Beverages</x:v>
      </x:c>
      <x:c r="B36" s="8" t="str">
        <x:v>2026-05</x:v>
      </x:c>
      <x:c r="C36" s="10" t="n">
        <x:v>13</x:v>
      </x:c>
      <x:c r="D36" s="12" t="n">
        <x:v>1665</x:v>
      </x:c>
      <x:c r="E36" s="12" t="n">
        <x:v>128.07692307692307</x:v>
      </x:c>
    </x:row>
    <x:row r="37">
      <x:c r="A37" t="str">
        <x:v>Snacks &amp; Beverages</x:v>
      </x:c>
      <x:c r="B37" s="8" t="str">
        <x:v>2026-06</x:v>
      </x:c>
      <x:c r="C37" s="10" t="n">
        <x:v>15</x:v>
      </x:c>
      <x:c r="D37" s="12" t="n">
        <x:v>1960</x:v>
      </x:c>
      <x:c r="E37" s="12" t="n">
        <x:v>130.66666666666666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.25" hidden="0" customWidth="1"/>
    <x:col min="2" max="2" width="15.25" hidden="0" customWidth="1"/>
  </x:cols>
  <x:sheetData>
    <x:row r="1">
      <x:c r="A1" s="4" t="str">
        <x:v>category</x:v>
      </x:c>
      <x:c r="B1" s="4" t="str">
        <x:v>target_revenue_inr</x:v>
      </x:c>
    </x:row>
    <x:row r="2">
      <x:c r="A2" t="str">
        <x:v>Fruits &amp; Vegetables</x:v>
      </x:c>
      <x:c r="B2" s="14" t="n">
        <x:v>12000</x:v>
      </x:c>
    </x:row>
    <x:row r="3">
      <x:c r="A3" t="str">
        <x:v>Dairy &amp; Eggs</x:v>
      </x:c>
      <x:c r="B3" s="14" t="n">
        <x:v>16500</x:v>
      </x:c>
    </x:row>
    <x:row r="4">
      <x:c r="A4" t="str">
        <x:v>Snacks &amp; Beverages</x:v>
      </x:c>
      <x:c r="B4" s="14" t="n">
        <x:v>13000</x:v>
      </x:c>
    </x:row>
    <x:row r="5">
      <x:c r="A5" t="str">
        <x:v>Personal Care</x:v>
      </x:c>
      <x:c r="B5" s="14" t="n">
        <x:v>15500</x:v>
      </x:c>
    </x:row>
    <x:row r="6">
      <x:c r="A6" t="str">
        <x:v>Household Essentials</x:v>
      </x:c>
      <x:c r="B6" s="14" t="n">
        <x:v>17000</x:v>
      </x:c>
    </x:row>
    <x:row r="7">
      <x:c r="A7" t="str">
        <x:v>Bakery</x:v>
      </x:c>
      <x:c r="B7" s="14" t="n">
        <x:v>12000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.25" hidden="0" customWidth="1"/>
    <x:col min="2" max="2" width="17.25" hidden="0" customWidth="1"/>
    <x:col min="3" max="3" width="16" hidden="0" customWidth="1"/>
  </x:cols>
  <x:sheetData>
    <x:row r="1">
      <x:c r="A1" s="18" t="str">
        <x:v>category</x:v>
      </x:c>
      <x:c r="B1" s="18" t="str">
        <x:v>SUM of total_revenue</x:v>
      </x:c>
      <x:c r="C1" s="18" t="str">
        <x:v>SUM of order_count</x:v>
      </x:c>
    </x:row>
    <x:row r="2">
      <x:c r="A2" t="str">
        <x:v>Fruits &amp; Vegetables</x:v>
      </x:c>
      <x:c r="B2" s="14" t="n">
        <x:f>SUMIF('Monthly Data'!$A$2:$A$37,A2,'Monthly Data'!$D$2:$D$37)</x:f>
        <x:v>9790</x:v>
      </x:c>
      <x:c r="C2" t="n">
        <x:f>SUMIF('Monthly Data'!$A$2:$A$37,A2,'Monthly Data'!$C$2:$C$37)</x:f>
        <x:v>73</x:v>
      </x:c>
    </x:row>
    <x:row r="3">
      <x:c r="A3" t="str">
        <x:v>Dairy &amp; Eggs</x:v>
      </x:c>
      <x:c r="B3" s="14" t="n">
        <x:f>SUMIF('Monthly Data'!$A$2:$A$37,A3,'Monthly Data'!$D$2:$D$37)</x:f>
        <x:v>14090</x:v>
      </x:c>
      <x:c r="C3" t="n">
        <x:f>SUMIF('Monthly Data'!$A$2:$A$37,A3,'Monthly Data'!$C$2:$C$37)</x:f>
        <x:v>66</x:v>
      </x:c>
    </x:row>
    <x:row r="4">
      <x:c r="A4" t="str">
        <x:v>Snacks &amp; Beverages</x:v>
      </x:c>
      <x:c r="B4" s="14" t="n">
        <x:f>SUMIF('Monthly Data'!$A$2:$A$37,A4,'Monthly Data'!$D$2:$D$37)</x:f>
        <x:v>10895</x:v>
      </x:c>
      <x:c r="C4" t="n">
        <x:f>SUMIF('Monthly Data'!$A$2:$A$37,A4,'Monthly Data'!$C$2:$C$37)</x:f>
        <x:v>83</x:v>
      </x:c>
    </x:row>
    <x:row r="5">
      <x:c r="A5" t="str">
        <x:v>Personal Care</x:v>
      </x:c>
      <x:c r="B5" s="14" t="n">
        <x:f>SUMIF('Monthly Data'!$A$2:$A$37,A5,'Monthly Data'!$D$2:$D$37)</x:f>
        <x:v>16382</x:v>
      </x:c>
      <x:c r="C5" t="n">
        <x:f>SUMIF('Monthly Data'!$A$2:$A$37,A5,'Monthly Data'!$C$2:$C$37)</x:f>
        <x:v>66</x:v>
      </x:c>
    </x:row>
    <x:row r="6">
      <x:c r="A6" t="str">
        <x:v>Household Essentials</x:v>
      </x:c>
      <x:c r="B6" s="14" t="n">
        <x:f>SUMIF('Monthly Data'!$A$2:$A$37,A6,'Monthly Data'!$D$2:$D$37)</x:f>
        <x:v>21715</x:v>
      </x:c>
      <x:c r="C6" t="n">
        <x:f>SUMIF('Monthly Data'!$A$2:$A$37,A6,'Monthly Data'!$C$2:$C$37)</x:f>
        <x:v>79</x:v>
      </x:c>
    </x:row>
    <x:row r="7">
      <x:c r="A7" t="str">
        <x:v>Bakery</x:v>
      </x:c>
      <x:c r="B7" s="14" t="n">
        <x:f>SUMIF('Monthly Data'!$A$2:$A$37,A7,'Monthly Data'!$D$2:$D$37)</x:f>
        <x:v>15410</x:v>
      </x:c>
      <x:c r="C7" t="n">
        <x:f>SUMIF('Monthly Data'!$A$2:$A$37,A7,'Monthly Data'!$C$2:$C$37)</x:f>
        <x:v>67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.25" hidden="0" customWidth="1"/>
    <x:col min="3" max="3" width="12.25" hidden="0" customWidth="1"/>
    <x:col min="4" max="4" width="7.130000114440918" hidden="0" customWidth="1"/>
    <x:col min="5" max="5" width="8.880000114440918" hidden="0" customWidth="1"/>
    <x:col min="6" max="6" width="28" hidden="0" customWidth="1"/>
    <x:col min="7" max="7" width="26" hidden="0" customWidth="1"/>
  </x:cols>
  <x:sheetData>
    <x:row r="1">
      <x:c r="A1" s="24" t="str">
        <x:v>Category</x:v>
      </x:c>
      <x:c r="B1" s="24" t="str">
        <x:v>Total Revenue</x:v>
      </x:c>
      <x:c r="C1" s="24" t="str">
        <x:v>Target Revenue</x:v>
      </x:c>
      <x:c r="D1" s="24" t="str">
        <x:v>Variance</x:v>
      </x:c>
      <x:c r="E1" s="24" t="str">
        <x:v>% Variance</x:v>
      </x:c>
      <x:c r="F1" s="24" t="str">
        <x:v>Target Status</x:v>
      </x:c>
      <x:c r="G1" s="24" t="str">
        <x:v>Matches Part 1 SQL total?</x:v>
      </x:c>
    </x:row>
    <x:row r="2">
      <x:c r="A2" s="25" t="str">
        <x:v>Fruits &amp; Vegetables</x:v>
      </x:c>
      <x:c r="B2" s="26" t="n">
        <x:f>SUMIF('Monthly Data'!$A$2:$A$37,A2,'Monthly Data'!$D$2:$D$37)</x:f>
        <x:v>9790</x:v>
      </x:c>
      <x:c r="C2" s="26" t="n">
        <x:f>XLOOKUP(A2,'Category Targets'!$A$2:$A$7,'Category Targets'!$B$2:$B$7,"Not Found")</x:f>
        <x:v>12000</x:v>
      </x:c>
      <x:c r="D2" s="26" t="n">
        <x:f>C2-B2</x:f>
        <x:v>2210</x:v>
      </x:c>
      <x:c r="E2" s="27" t="n">
        <x:f>(B2-C2)/C2</x:f>
        <x:v>-0.18416666666666667</x:v>
      </x:c>
      <x:c r="F2" s="25" t="str">
        <x:f>IF(B2&gt;=C2,"Above Target",IF((C2-B2)/C2&lt;=0.15,"Below Target - Watch","Below Target - Critical"))</x:f>
        <x:v>Below Target - Critical</x:v>
      </x:c>
      <x:c r="G2" s="25" t="str">
        <x:v>Yes</x:v>
      </x:c>
    </x:row>
    <x:row r="3">
      <x:c r="A3" s="25" t="str">
        <x:v>Dairy &amp; Eggs</x:v>
      </x:c>
      <x:c r="B3" s="26" t="n">
        <x:f>SUMIF('Monthly Data'!$A$2:$A$37,A3,'Monthly Data'!$D$2:$D$37)</x:f>
        <x:v>14090</x:v>
      </x:c>
      <x:c r="C3" s="26" t="n">
        <x:f>XLOOKUP(A3,'Category Targets'!$A$2:$A$7,'Category Targets'!$B$2:$B$7,"Not Found")</x:f>
        <x:v>16500</x:v>
      </x:c>
      <x:c r="D3" s="26" t="n">
        <x:f>C3-B3</x:f>
        <x:v>2410</x:v>
      </x:c>
      <x:c r="E3" s="27" t="n">
        <x:f>(B3-C3)/C3</x:f>
        <x:v>-0.14606060606060606</x:v>
      </x:c>
      <x:c r="F3" s="25" t="str">
        <x:f>IF(B3&gt;=C3,"Above Target",IF((C3-B3)/C3&lt;=0.15,"Below Target - Watch","Below Target - Critical"))</x:f>
        <x:v>Below Target - Watch</x:v>
      </x:c>
      <x:c r="G3" s="25" t="str">
        <x:v>Yes</x:v>
      </x:c>
    </x:row>
    <x:row r="4">
      <x:c r="A4" s="25" t="str">
        <x:v>Snacks &amp; Beverages</x:v>
      </x:c>
      <x:c r="B4" s="26" t="n">
        <x:f>SUMIF('Monthly Data'!$A$2:$A$37,A4,'Monthly Data'!$D$2:$D$37)</x:f>
        <x:v>10895</x:v>
      </x:c>
      <x:c r="C4" s="26" t="n">
        <x:f>XLOOKUP(A4,'Category Targets'!$A$2:$A$7,'Category Targets'!$B$2:$B$7,"Not Found")</x:f>
        <x:v>13000</x:v>
      </x:c>
      <x:c r="D4" s="26" t="n">
        <x:f>C4-B4</x:f>
        <x:v>2105</x:v>
      </x:c>
      <x:c r="E4" s="27" t="n">
        <x:f>(B4-C4)/C4</x:f>
        <x:v>-0.16192307692307692</x:v>
      </x:c>
      <x:c r="F4" s="25" t="str">
        <x:f>IF(B4&gt;=C4,"Above Target",IF((C4-B4)/C4&lt;=0.15,"Below Target - Watch","Below Target - Critical"))</x:f>
        <x:v>Below Target - Critical</x:v>
      </x:c>
      <x:c r="G4" s="25" t="str">
        <x:v>Yes</x:v>
      </x:c>
    </x:row>
    <x:row r="5">
      <x:c r="A5" s="25" t="str">
        <x:v>Personal Care</x:v>
      </x:c>
      <x:c r="B5" s="26" t="n">
        <x:f>SUMIF('Monthly Data'!$A$2:$A$37,A5,'Monthly Data'!$D$2:$D$37)</x:f>
        <x:v>16382</x:v>
      </x:c>
      <x:c r="C5" s="26" t="n">
        <x:f>XLOOKUP(A5,'Category Targets'!$A$2:$A$7,'Category Targets'!$B$2:$B$7,"Not Found")</x:f>
        <x:v>15500</x:v>
      </x:c>
      <x:c r="D5" s="26" t="n">
        <x:f>C5-B5</x:f>
        <x:v>-882</x:v>
      </x:c>
      <x:c r="E5" s="27" t="n">
        <x:f>(B5-C5)/C5</x:f>
        <x:v>0.056903225806451616</x:v>
      </x:c>
      <x:c r="F5" s="25" t="str">
        <x:f>IF(B5&gt;=C5,"Above Target",IF((C5-B5)/C5&lt;=0.15,"Below Target - Watch","Below Target - Critical"))</x:f>
        <x:v>Above Target</x:v>
      </x:c>
      <x:c r="G5" s="25" t="str">
        <x:v>Yes</x:v>
      </x:c>
    </x:row>
    <x:row r="6">
      <x:c r="A6" s="25" t="str">
        <x:v>Household Essentials</x:v>
      </x:c>
      <x:c r="B6" s="26" t="n">
        <x:f>SUMIF('Monthly Data'!$A$2:$A$37,A6,'Monthly Data'!$D$2:$D$37)</x:f>
        <x:v>21715</x:v>
      </x:c>
      <x:c r="C6" s="26" t="n">
        <x:f>XLOOKUP(A6,'Category Targets'!$A$2:$A$7,'Category Targets'!$B$2:$B$7,"Not Found")</x:f>
        <x:v>17000</x:v>
      </x:c>
      <x:c r="D6" s="26" t="n">
        <x:f>C6-B6</x:f>
        <x:v>-4715</x:v>
      </x:c>
      <x:c r="E6" s="27" t="n">
        <x:f>(B6-C6)/C6</x:f>
        <x:v>0.2773529411764706</x:v>
      </x:c>
      <x:c r="F6" s="25" t="str">
        <x:f>IF(B6&gt;=C6,"Above Target",IF((C6-B6)/C6&lt;=0.15,"Below Target - Watch","Below Target - Critical"))</x:f>
        <x:v>Above Target</x:v>
      </x:c>
      <x:c r="G6" s="25" t="str">
        <x:v>Yes</x:v>
      </x:c>
    </x:row>
    <x:row r="7">
      <x:c r="A7" s="25" t="str">
        <x:v>Bakery</x:v>
      </x:c>
      <x:c r="B7" s="26" t="n">
        <x:f>SUMIF('Monthly Data'!$A$2:$A$37,A7,'Monthly Data'!$D$2:$D$37)</x:f>
        <x:v>15410</x:v>
      </x:c>
      <x:c r="C7" s="26" t="n">
        <x:f>XLOOKUP(A7,'Category Targets'!$A$2:$A$7,'Category Targets'!$B$2:$B$7,"Not Found")</x:f>
        <x:v>12000</x:v>
      </x:c>
      <x:c r="D7" s="26" t="n">
        <x:f>C7-B7</x:f>
        <x:v>-3410</x:v>
      </x:c>
      <x:c r="E7" s="27" t="n">
        <x:f>(B7-C7)/C7</x:f>
        <x:v>0.2841666666666667</x:v>
      </x:c>
      <x:c r="F7" s="25" t="str">
        <x:f>IF(B7&gt;=C7,"Above Target",IF((C7-B7)/C7&lt;=0.15,"Below Target - Watch","Below Target - Critical"))</x:f>
        <x:v>Above Target</x:v>
      </x:c>
      <x:c r="G7" s="25" t="str">
        <x:v>Yes</x:v>
      </x:c>
    </x:row>
    <x:row r="9">
      <x:c r="A9" s="25" t="str">
        <x:v>Reconciliation note: Total Revenue is formula-driven from the exact 36-row monthly_category_revenue.csv. The 'Matches Part 1 SQL total?' column is Yes for all six categories.</x:v>
      </x:c>
      <x:c r="B9" s="25"/>
      <x:c r="C9" s="25"/>
      <x:c r="D9" s="25"/>
      <x:c r="E9" s="25"/>
      <x:c r="F9" s="25"/>
      <x:c r="G9" s="25"/>
    </x:row>
    <x:row r="10">
      <x:c r="A10" s="25"/>
      <x:c r="B10" s="25"/>
      <x:c r="C10" s="25"/>
      <x:c r="D10" s="25"/>
      <x:c r="E10" s="25"/>
      <x:c r="F10" s="25"/>
      <x:c r="G10" s="25"/>
    </x:row>
  </x:sheetData>
  <x:mergeCells>
    <x:mergeCell ref="A9:G10"/>
  </x:mergeCells>
  <x:conditionalFormatting sqref="F2:F7">
    <x:cfRule type="expression" dxfId="0" priority="1">
      <x:formula>F2="Above Target"</x:formula>
    </x:cfRule>
    <x:cfRule type="expression" dxfId="1" priority="2">
      <x:formula>F2="Below Target - Watch"</x:formula>
    </x:cfRule>
    <x:cfRule type="expression" dxfId="2" priority="3">
      <x:formula>F2="Below Target - Critical"</x:formula>
    </x:cfRule>
  </x:conditionalFormatting>
  <x:pageMargins left="0.7" right="0.7" top="0.75" bottom="0.75" header="0.3" footer="0.3"/>
</x:worksheet>
</file>